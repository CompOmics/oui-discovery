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gentbe-my.sharepoint.com/personal/enrico_massignani_ugent_be/Documents/OpenProt_2/oui-discovery-github/publication-data/"/>
    </mc:Choice>
  </mc:AlternateContent>
  <xr:revisionPtr revIDLastSave="14" documentId="13_ncr:1_{D2C78379-F9E0-4545-83A8-282DAC5AADD0}" xr6:coauthVersionLast="47" xr6:coauthVersionMax="47" xr10:uidLastSave="{969485D4-213A-4D91-A405-301FA63A3EA8}"/>
  <bookViews>
    <workbookView xWindow="-120" yWindow="-120" windowWidth="29040" windowHeight="17520" activeTab="1" xr2:uid="{0C4A402D-8FC4-4EF9-A824-414A2766D234}"/>
  </bookViews>
  <sheets>
    <sheet name="readme" sheetId="4" r:id="rId1"/>
    <sheet name="TrEMBL vs OpenProt" sheetId="1" r:id="rId2"/>
    <sheet name="Closed vs Open search"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B17" i="1"/>
  <c r="B16" i="1"/>
  <c r="B14" i="1"/>
  <c r="B13" i="1"/>
  <c r="B12" i="1"/>
  <c r="B11" i="1"/>
  <c r="B10" i="1"/>
  <c r="B13" i="3"/>
  <c r="B12" i="3"/>
  <c r="B11" i="3"/>
</calcChain>
</file>

<file path=xl/sharedStrings.xml><?xml version="1.0" encoding="utf-8"?>
<sst xmlns="http://schemas.openxmlformats.org/spreadsheetml/2006/main" count="51" uniqueCount="36">
  <si>
    <t>Canonical+Unmodified/Expected</t>
  </si>
  <si>
    <t>Canonical+Unexpected</t>
  </si>
  <si>
    <t>NonCanonical+Unmodified/Expected</t>
  </si>
  <si>
    <t>NonCanonical+Unexpected</t>
  </si>
  <si>
    <t>Decoy</t>
  </si>
  <si>
    <t>Unidentified</t>
  </si>
  <si>
    <t>OpenProt search identifications</t>
  </si>
  <si>
    <t>TrEMBL search identifications</t>
  </si>
  <si>
    <t>-</t>
  </si>
  <si>
    <t>Open modification search identifications</t>
  </si>
  <si>
    <t>Closed search</t>
  </si>
  <si>
    <t>TrEMBL vs OpenProt</t>
  </si>
  <si>
    <t>Closed vs Open search</t>
  </si>
  <si>
    <t>Comparison between database searches against OpenProt, performed with ionbot in closed search and open search mode, respectively.</t>
  </si>
  <si>
    <t>Comparison between database searches against TrEMBL and OpenProt, respectively, both performed with ionbot in open search mode.</t>
  </si>
  <si>
    <t>Description</t>
  </si>
  <si>
    <t>The document reports the number of spectra identified by ionbot. PSMs from different searches were matched by spectrum title to inspect how different parameters could lead to different interpretations of the same data.</t>
  </si>
  <si>
    <t>Spectra labels</t>
  </si>
  <si>
    <t>Unexpected</t>
  </si>
  <si>
    <t>Canonical</t>
  </si>
  <si>
    <t>Non-Canonical</t>
  </si>
  <si>
    <t>Unmodified/Expected</t>
  </si>
  <si>
    <t>Spectrum matched to a peptide without unexpected modifications.</t>
  </si>
  <si>
    <t>Spectrum matched to a peptide with an unexpected modification.</t>
  </si>
  <si>
    <t>Spectrum matched to a peptide mapping to canonical protein(s) (includes peptides in common with non-canonical proteins).</t>
  </si>
  <si>
    <r>
      <t xml:space="preserve">Spectrum matched to a peptide mapping </t>
    </r>
    <r>
      <rPr>
        <b/>
        <sz val="11"/>
        <color theme="1"/>
        <rFont val="Aptos Narrow"/>
        <family val="2"/>
        <scheme val="minor"/>
      </rPr>
      <t>exclusively</t>
    </r>
    <r>
      <rPr>
        <sz val="11"/>
        <color theme="1"/>
        <rFont val="Aptos Narrow"/>
        <family val="2"/>
        <scheme val="minor"/>
      </rPr>
      <t xml:space="preserve"> to non-canonical protein(s).</t>
    </r>
  </si>
  <si>
    <t>new non-canonical PSMs</t>
  </si>
  <si>
    <t>spectra from closed search reannotated with an unexpected PTM</t>
  </si>
  <si>
    <t>spectra from closed search reannotated from non-canonical to canonical</t>
  </si>
  <si>
    <t>Canonical in both searches</t>
  </si>
  <si>
    <t>Canonical reannotated as non-canonical</t>
  </si>
  <si>
    <t>New canonical PSMs</t>
  </si>
  <si>
    <t>New non-canonical PSMs</t>
  </si>
  <si>
    <t>Lost PSMs</t>
  </si>
  <si>
    <t>Non-canonical IDs from reannotation of spectra</t>
  </si>
  <si>
    <t>Non-canonical IDs from newly annotated spectra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</si>
</sst>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b/>
      <sz val="11"/>
      <name val="Calibri"/>
      <family val="2"/>
    </font>
  </fonts>
  <fills count="9">
    <fill>
      <patternFill patternType="none"/>
    </fill>
    <fill>
      <patternFill patternType="gray125"/>
    </fill>
    <fill>
      <patternFill patternType="solid">
        <fgColor theme="5" tint="0.59999389629810485"/>
        <bgColor indexed="65"/>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patternFill>
    </fill>
    <fill>
      <patternFill patternType="solid">
        <fgColor theme="7"/>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9" fontId="1" fillId="0" borderId="0" applyFont="0" applyFill="0" applyBorder="0" applyAlignment="0" applyProtection="0"/>
  </cellStyleXfs>
  <cellXfs count="25">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0" fontId="2" fillId="5" borderId="1" xfId="1" applyFont="1" applyFill="1" applyBorder="1" applyAlignment="1">
      <alignment horizontal="right" vertical="center"/>
    </xf>
    <xf numFmtId="0" fontId="5" fillId="0" borderId="1" xfId="0" applyFont="1" applyBorder="1" applyAlignment="1">
      <alignment horizontal="center" vertical="top"/>
    </xf>
    <xf numFmtId="0" fontId="2" fillId="0" borderId="0" xfId="0" applyFont="1"/>
    <xf numFmtId="0" fontId="2" fillId="0" borderId="1" xfId="0" applyFont="1" applyBorder="1"/>
    <xf numFmtId="0" fontId="0" fillId="0" borderId="1" xfId="0" applyBorder="1"/>
    <xf numFmtId="0" fontId="3" fillId="6" borderId="1" xfId="2" applyFont="1" applyBorder="1"/>
    <xf numFmtId="0" fontId="3" fillId="7" borderId="1" xfId="3" applyFont="1" applyBorder="1"/>
    <xf numFmtId="0" fontId="2" fillId="8" borderId="1" xfId="0" applyFont="1" applyFill="1" applyBorder="1"/>
    <xf numFmtId="0" fontId="0" fillId="0" borderId="0" xfId="0" applyAlignment="1">
      <alignment horizontal="center" vertical="center" wrapText="1"/>
    </xf>
    <xf numFmtId="0" fontId="0" fillId="0" borderId="1" xfId="0" applyBorder="1" applyAlignment="1">
      <alignment horizontal="center" wrapText="1"/>
    </xf>
    <xf numFmtId="9" fontId="0" fillId="0" borderId="0" xfId="4" applyFont="1" applyAlignment="1">
      <alignment horizontal="center" wrapText="1"/>
    </xf>
    <xf numFmtId="164" fontId="0" fillId="0" borderId="0" xfId="4" applyNumberFormat="1" applyFont="1" applyAlignment="1">
      <alignment horizontal="center" vertical="center" wrapText="1"/>
    </xf>
    <xf numFmtId="0" fontId="0" fillId="0" borderId="0" xfId="0" applyAlignment="1">
      <alignment horizontal="center" vertical="center"/>
    </xf>
    <xf numFmtId="164" fontId="0" fillId="0" borderId="0" xfId="4" applyNumberFormat="1" applyFont="1" applyAlignment="1">
      <alignment horizontal="center"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cellXfs>
  <cellStyles count="5">
    <cellStyle name="40% - Accent2" xfId="1" builtinId="35"/>
    <cellStyle name="Accent2" xfId="2" builtinId="33"/>
    <cellStyle name="Accent4" xfId="3" builtinId="41"/>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9D5E5-8A4D-4C57-BD2E-3E40AB3BB46A}">
  <dimension ref="A2:B10"/>
  <sheetViews>
    <sheetView workbookViewId="0">
      <selection activeCell="B17" sqref="B17"/>
    </sheetView>
  </sheetViews>
  <sheetFormatPr defaultRowHeight="15" x14ac:dyDescent="0.25"/>
  <cols>
    <col min="1" max="1" width="22" bestFit="1" customWidth="1"/>
  </cols>
  <sheetData>
    <row r="2" spans="1:2" x14ac:dyDescent="0.25">
      <c r="A2" s="9" t="s">
        <v>15</v>
      </c>
      <c r="B2" s="12" t="s">
        <v>16</v>
      </c>
    </row>
    <row r="3" spans="1:2" x14ac:dyDescent="0.25">
      <c r="A3" s="13" t="s">
        <v>11</v>
      </c>
      <c r="B3" s="12" t="s">
        <v>14</v>
      </c>
    </row>
    <row r="4" spans="1:2" x14ac:dyDescent="0.25">
      <c r="A4" s="14" t="s">
        <v>12</v>
      </c>
      <c r="B4" s="12" t="s">
        <v>13</v>
      </c>
    </row>
    <row r="5" spans="1:2" x14ac:dyDescent="0.25">
      <c r="A5" s="10"/>
    </row>
    <row r="6" spans="1:2" x14ac:dyDescent="0.25">
      <c r="A6" s="15" t="s">
        <v>17</v>
      </c>
    </row>
    <row r="7" spans="1:2" x14ac:dyDescent="0.25">
      <c r="A7" s="11" t="s">
        <v>21</v>
      </c>
      <c r="B7" s="12" t="s">
        <v>22</v>
      </c>
    </row>
    <row r="8" spans="1:2" x14ac:dyDescent="0.25">
      <c r="A8" s="11" t="s">
        <v>18</v>
      </c>
      <c r="B8" s="12" t="s">
        <v>23</v>
      </c>
    </row>
    <row r="9" spans="1:2" x14ac:dyDescent="0.25">
      <c r="A9" s="11" t="s">
        <v>19</v>
      </c>
      <c r="B9" s="12" t="s">
        <v>24</v>
      </c>
    </row>
    <row r="10" spans="1:2" x14ac:dyDescent="0.25">
      <c r="A10" s="11" t="s">
        <v>20</v>
      </c>
      <c r="B10" s="1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97264-88B8-4923-8411-992B5C99E87D}">
  <sheetPr>
    <tabColor theme="9"/>
  </sheetPr>
  <dimension ref="A1:G31"/>
  <sheetViews>
    <sheetView tabSelected="1" workbookViewId="0">
      <selection activeCell="B3" sqref="B3:G6"/>
    </sheetView>
  </sheetViews>
  <sheetFormatPr defaultRowHeight="15" x14ac:dyDescent="0.25"/>
  <cols>
    <col min="1" max="1" width="30.42578125" style="1" bestFit="1" customWidth="1"/>
    <col min="2" max="2" width="21.5703125" style="1" customWidth="1"/>
    <col min="3" max="3" width="21.5703125" style="1" bestFit="1" customWidth="1"/>
    <col min="4" max="4" width="25.28515625" style="1" customWidth="1"/>
    <col min="5" max="5" width="25.28515625" style="1" bestFit="1" customWidth="1"/>
    <col min="6" max="6" width="8.5703125" style="1" customWidth="1"/>
    <col min="7" max="7" width="13.85546875" style="1" customWidth="1"/>
  </cols>
  <sheetData>
    <row r="1" spans="1:7" x14ac:dyDescent="0.25">
      <c r="A1" s="2"/>
      <c r="B1" s="22" t="s">
        <v>6</v>
      </c>
      <c r="C1" s="22"/>
      <c r="D1" s="22"/>
      <c r="E1" s="22"/>
      <c r="F1" s="22"/>
      <c r="G1" s="22"/>
    </row>
    <row r="2" spans="1:7" ht="30" x14ac:dyDescent="0.25">
      <c r="A2" s="8" t="s">
        <v>7</v>
      </c>
      <c r="B2" s="7" t="s">
        <v>0</v>
      </c>
      <c r="C2" s="7" t="s">
        <v>1</v>
      </c>
      <c r="D2" s="7" t="s">
        <v>2</v>
      </c>
      <c r="E2" s="7" t="s">
        <v>3</v>
      </c>
      <c r="F2" s="7" t="s">
        <v>4</v>
      </c>
      <c r="G2" s="7" t="s">
        <v>5</v>
      </c>
    </row>
    <row r="3" spans="1:7" x14ac:dyDescent="0.25">
      <c r="A3" s="8" t="s">
        <v>0</v>
      </c>
      <c r="B3" s="3">
        <v>226987</v>
      </c>
      <c r="C3" s="3">
        <v>1207</v>
      </c>
      <c r="D3" s="3">
        <v>1243</v>
      </c>
      <c r="E3" s="3">
        <v>1382</v>
      </c>
      <c r="F3" s="3">
        <v>534</v>
      </c>
      <c r="G3" s="3">
        <v>13578</v>
      </c>
    </row>
    <row r="4" spans="1:7" x14ac:dyDescent="0.25">
      <c r="A4" s="8" t="s">
        <v>1</v>
      </c>
      <c r="B4" s="3">
        <v>1281</v>
      </c>
      <c r="C4" s="3">
        <v>78567</v>
      </c>
      <c r="D4" s="3">
        <v>735</v>
      </c>
      <c r="E4" s="3">
        <v>1435</v>
      </c>
      <c r="F4" s="3">
        <v>197</v>
      </c>
      <c r="G4" s="3">
        <v>6910</v>
      </c>
    </row>
    <row r="5" spans="1:7" x14ac:dyDescent="0.25">
      <c r="A5" s="8" t="s">
        <v>4</v>
      </c>
      <c r="B5" s="3">
        <v>199</v>
      </c>
      <c r="C5" s="3">
        <v>73</v>
      </c>
      <c r="D5" s="3">
        <v>85</v>
      </c>
      <c r="E5" s="3">
        <v>72</v>
      </c>
      <c r="F5" s="3">
        <v>1012</v>
      </c>
      <c r="G5" s="3">
        <v>2176</v>
      </c>
    </row>
    <row r="6" spans="1:7" x14ac:dyDescent="0.25">
      <c r="A6" s="8" t="s">
        <v>5</v>
      </c>
      <c r="B6" s="3">
        <v>1796</v>
      </c>
      <c r="C6" s="3">
        <v>1165</v>
      </c>
      <c r="D6" s="3">
        <v>1837</v>
      </c>
      <c r="E6" s="3">
        <v>2005</v>
      </c>
      <c r="F6" s="3">
        <v>1717</v>
      </c>
      <c r="G6" s="3" t="s">
        <v>8</v>
      </c>
    </row>
    <row r="10" spans="1:7" x14ac:dyDescent="0.25">
      <c r="A10" s="20" t="s">
        <v>29</v>
      </c>
      <c r="B10" s="21">
        <f>SUM(B3:C4)/SUM(B3:G6)</f>
        <v>0.88979846501806792</v>
      </c>
      <c r="C10" s="20"/>
      <c r="D10" s="20"/>
      <c r="E10" s="20"/>
    </row>
    <row r="11" spans="1:7" ht="30" x14ac:dyDescent="0.25">
      <c r="A11" s="16" t="s">
        <v>30</v>
      </c>
      <c r="B11" s="21">
        <f>SUM(D3:E4)/SUM(B3:G6)</f>
        <v>1.3850655559182306E-2</v>
      </c>
      <c r="C11" s="20"/>
      <c r="D11" s="20"/>
      <c r="E11" s="20"/>
    </row>
    <row r="12" spans="1:7" x14ac:dyDescent="0.25">
      <c r="A12" s="20" t="s">
        <v>31</v>
      </c>
      <c r="B12" s="21">
        <f>SUM(B6:C6)/SUM(B3:G6)</f>
        <v>8.5530325569841102E-3</v>
      </c>
      <c r="C12" s="20"/>
      <c r="D12" s="20"/>
      <c r="E12" s="20"/>
    </row>
    <row r="13" spans="1:7" x14ac:dyDescent="0.25">
      <c r="A13" s="20" t="s">
        <v>32</v>
      </c>
      <c r="B13" s="21">
        <f>SUM(D6:E6)/SUM(B3:G6)</f>
        <v>1.1097855820308325E-2</v>
      </c>
      <c r="C13" s="20"/>
      <c r="D13" s="20"/>
      <c r="E13" s="20"/>
    </row>
    <row r="14" spans="1:7" x14ac:dyDescent="0.25">
      <c r="A14" s="20" t="s">
        <v>33</v>
      </c>
      <c r="B14" s="21">
        <f>SUM(G3:G4)/SUM(B3:G6)</f>
        <v>5.9180861542549965E-2</v>
      </c>
      <c r="C14" s="20"/>
      <c r="D14" s="20"/>
      <c r="E14" s="20"/>
    </row>
    <row r="15" spans="1:7" x14ac:dyDescent="0.25">
      <c r="A15" s="20"/>
      <c r="B15" s="21"/>
      <c r="C15" s="20"/>
      <c r="D15" s="20"/>
      <c r="E15" s="20"/>
    </row>
    <row r="16" spans="1:7" ht="28.5" customHeight="1" x14ac:dyDescent="0.25">
      <c r="A16" s="16" t="s">
        <v>34</v>
      </c>
      <c r="B16" s="21">
        <f>SUM(D3:E5)/SUM(B3:G6)</f>
        <v>1.4304159818367211E-2</v>
      </c>
      <c r="C16" s="20"/>
      <c r="D16" s="20"/>
      <c r="E16" s="20"/>
    </row>
    <row r="17" spans="1:5" ht="30" x14ac:dyDescent="0.25">
      <c r="A17" s="16" t="s">
        <v>35</v>
      </c>
      <c r="B17" s="21">
        <f>SUM(D6:E6)/SUM(B3:G6)</f>
        <v>1.1097855820308325E-2</v>
      </c>
      <c r="C17" s="20"/>
      <c r="D17" s="20"/>
      <c r="E17" s="20"/>
    </row>
    <row r="18" spans="1:5" x14ac:dyDescent="0.25">
      <c r="A18" s="20"/>
      <c r="B18" s="20"/>
      <c r="C18" s="20"/>
      <c r="D18" s="20"/>
      <c r="E18" s="20"/>
    </row>
    <row r="19" spans="1:5" x14ac:dyDescent="0.25">
      <c r="A19" s="20"/>
      <c r="B19" s="20"/>
      <c r="C19" s="20"/>
      <c r="D19" s="20"/>
      <c r="E19" s="20"/>
    </row>
    <row r="20" spans="1:5" x14ac:dyDescent="0.25">
      <c r="A20" s="20"/>
      <c r="B20" s="20"/>
      <c r="C20" s="20"/>
      <c r="D20" s="20"/>
      <c r="E20" s="20"/>
    </row>
    <row r="21" spans="1:5" x14ac:dyDescent="0.25">
      <c r="A21" s="20"/>
      <c r="B21" s="20"/>
      <c r="C21" s="20"/>
      <c r="D21" s="20"/>
      <c r="E21" s="20"/>
    </row>
    <row r="22" spans="1:5" x14ac:dyDescent="0.25">
      <c r="A22" s="20"/>
      <c r="B22" s="20"/>
      <c r="C22" s="20"/>
      <c r="D22" s="20"/>
      <c r="E22" s="20"/>
    </row>
    <row r="23" spans="1:5" x14ac:dyDescent="0.25">
      <c r="A23" s="20"/>
      <c r="B23" s="20"/>
      <c r="C23" s="20"/>
      <c r="D23" s="20"/>
      <c r="E23" s="20"/>
    </row>
    <row r="24" spans="1:5" x14ac:dyDescent="0.25">
      <c r="A24" s="20"/>
      <c r="B24" s="20"/>
      <c r="C24" s="20"/>
      <c r="D24" s="20"/>
      <c r="E24" s="20"/>
    </row>
    <row r="25" spans="1:5" x14ac:dyDescent="0.25">
      <c r="A25" s="20"/>
      <c r="B25" s="20"/>
      <c r="C25" s="20"/>
      <c r="D25" s="20"/>
      <c r="E25" s="20"/>
    </row>
    <row r="26" spans="1:5" x14ac:dyDescent="0.25">
      <c r="A26" s="20"/>
      <c r="B26" s="20"/>
      <c r="C26" s="20"/>
      <c r="D26" s="20"/>
      <c r="E26" s="20"/>
    </row>
    <row r="27" spans="1:5" x14ac:dyDescent="0.25">
      <c r="A27" s="20"/>
      <c r="B27" s="20"/>
      <c r="C27" s="20"/>
      <c r="D27" s="20"/>
      <c r="E27" s="20"/>
    </row>
    <row r="28" spans="1:5" x14ac:dyDescent="0.25">
      <c r="A28" s="20"/>
      <c r="B28" s="20"/>
      <c r="C28" s="20"/>
      <c r="D28" s="20"/>
      <c r="E28" s="20"/>
    </row>
    <row r="29" spans="1:5" x14ac:dyDescent="0.25">
      <c r="A29" s="20"/>
      <c r="B29" s="20"/>
      <c r="C29" s="20"/>
      <c r="D29" s="20"/>
      <c r="E29" s="20"/>
    </row>
    <row r="30" spans="1:5" x14ac:dyDescent="0.25">
      <c r="A30" s="20"/>
      <c r="B30" s="20"/>
      <c r="C30" s="20"/>
      <c r="D30" s="20"/>
      <c r="E30" s="20"/>
    </row>
    <row r="31" spans="1:5" x14ac:dyDescent="0.25">
      <c r="A31" s="20"/>
      <c r="B31" s="20"/>
      <c r="C31" s="20"/>
      <c r="D31" s="20"/>
      <c r="E31" s="20"/>
    </row>
  </sheetData>
  <mergeCells count="1">
    <mergeCell ref="B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77DFF-E379-4A66-8147-2BEA4A9CD173}">
  <sheetPr>
    <tabColor theme="5"/>
  </sheetPr>
  <dimension ref="A1:G13"/>
  <sheetViews>
    <sheetView workbookViewId="0">
      <selection activeCell="B3" sqref="B3:G6"/>
    </sheetView>
  </sheetViews>
  <sheetFormatPr defaultRowHeight="15" x14ac:dyDescent="0.25"/>
  <cols>
    <col min="1" max="1" width="39.28515625" style="4" customWidth="1"/>
    <col min="2" max="2" width="22" style="4" customWidth="1"/>
    <col min="3" max="3" width="22.28515625" style="4" bestFit="1" customWidth="1"/>
    <col min="4" max="4" width="26.42578125" style="4" customWidth="1"/>
    <col min="5" max="5" width="26.140625" style="4" bestFit="1" customWidth="1"/>
    <col min="6" max="6" width="6.7109375" style="4" bestFit="1" customWidth="1"/>
    <col min="7" max="7" width="12.28515625" style="4" bestFit="1" customWidth="1"/>
    <col min="8" max="16384" width="9.140625" style="4"/>
  </cols>
  <sheetData>
    <row r="1" spans="1:7" x14ac:dyDescent="0.25">
      <c r="A1" s="17"/>
      <c r="B1" s="23" t="s">
        <v>9</v>
      </c>
      <c r="C1" s="24"/>
      <c r="D1" s="24"/>
      <c r="E1" s="24"/>
      <c r="F1" s="24"/>
      <c r="G1" s="24"/>
    </row>
    <row r="2" spans="1:7" ht="30" x14ac:dyDescent="0.25">
      <c r="A2" s="5" t="s">
        <v>10</v>
      </c>
      <c r="B2" s="7" t="s">
        <v>0</v>
      </c>
      <c r="C2" s="7" t="s">
        <v>1</v>
      </c>
      <c r="D2" s="7" t="s">
        <v>2</v>
      </c>
      <c r="E2" s="7" t="s">
        <v>3</v>
      </c>
      <c r="F2" s="7" t="s">
        <v>4</v>
      </c>
      <c r="G2" s="7" t="s">
        <v>5</v>
      </c>
    </row>
    <row r="3" spans="1:7" x14ac:dyDescent="0.25">
      <c r="A3" s="5" t="s">
        <v>0</v>
      </c>
      <c r="B3" s="6">
        <v>161808</v>
      </c>
      <c r="C3" s="6">
        <v>17531</v>
      </c>
      <c r="D3" s="6">
        <v>520</v>
      </c>
      <c r="E3" s="6">
        <v>1367</v>
      </c>
      <c r="F3" s="6">
        <v>712</v>
      </c>
      <c r="G3" s="6">
        <v>16104</v>
      </c>
    </row>
    <row r="4" spans="1:7" x14ac:dyDescent="0.25">
      <c r="A4" s="5" t="s">
        <v>2</v>
      </c>
      <c r="B4" s="6">
        <v>236</v>
      </c>
      <c r="C4" s="6">
        <v>605</v>
      </c>
      <c r="D4" s="6">
        <v>674</v>
      </c>
      <c r="E4" s="6">
        <v>185</v>
      </c>
      <c r="F4" s="6">
        <v>33</v>
      </c>
      <c r="G4" s="6">
        <v>594</v>
      </c>
    </row>
    <row r="5" spans="1:7" x14ac:dyDescent="0.25">
      <c r="A5" s="5" t="s">
        <v>4</v>
      </c>
      <c r="B5" s="6">
        <v>254</v>
      </c>
      <c r="C5" s="6">
        <v>482</v>
      </c>
      <c r="D5" s="6">
        <v>24</v>
      </c>
      <c r="E5" s="6">
        <v>48</v>
      </c>
      <c r="F5" s="6">
        <v>179</v>
      </c>
      <c r="G5" s="6">
        <v>1152</v>
      </c>
    </row>
    <row r="6" spans="1:7" x14ac:dyDescent="0.25">
      <c r="A6" s="5" t="s">
        <v>5</v>
      </c>
      <c r="B6" s="6">
        <v>67965</v>
      </c>
      <c r="C6" s="6">
        <v>62394</v>
      </c>
      <c r="D6" s="6">
        <v>2682</v>
      </c>
      <c r="E6" s="6">
        <v>3294</v>
      </c>
      <c r="F6" s="6">
        <v>2536</v>
      </c>
      <c r="G6" s="6">
        <v>0</v>
      </c>
    </row>
    <row r="8" spans="1:7" x14ac:dyDescent="0.25">
      <c r="G8" s="18"/>
    </row>
    <row r="10" spans="1:7" x14ac:dyDescent="0.25">
      <c r="A10" s="16" t="s">
        <v>26</v>
      </c>
      <c r="B10" s="19">
        <f>SUM(D6:E6)/SUM(B6:G6)</f>
        <v>4.3032742617249105E-2</v>
      </c>
    </row>
    <row r="11" spans="1:7" ht="30" x14ac:dyDescent="0.25">
      <c r="A11" s="16" t="s">
        <v>27</v>
      </c>
      <c r="B11" s="19">
        <f>SUM(C3:C4,E3:E4)/SUM(B3:G4)</f>
        <v>9.8258712675114421E-2</v>
      </c>
    </row>
    <row r="12" spans="1:7" ht="30" x14ac:dyDescent="0.25">
      <c r="A12" s="16" t="s">
        <v>28</v>
      </c>
      <c r="B12" s="19">
        <f>SUM(B4:C4)/SUM(B4:G4)</f>
        <v>0.36140954018048987</v>
      </c>
    </row>
    <row r="13" spans="1:7" ht="30" x14ac:dyDescent="0.25">
      <c r="A13" s="16" t="s">
        <v>28</v>
      </c>
      <c r="B13" s="19">
        <f>SUM(D3:E3)/SUM(B3:G3)</f>
        <v>9.5282818796012959E-3</v>
      </c>
    </row>
  </sheetData>
  <mergeCells count="1">
    <mergeCell ref="B1:G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TrEMBL vs OpenProt</vt:lpstr>
      <vt:lpstr>Closed vs Open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Enrico Massignani</dc:creator>
  <cp:lastModifiedBy>Enrico Massignani</cp:lastModifiedBy>
  <dcterms:created xsi:type="dcterms:W3CDTF">2025-06-10T13:29:05Z</dcterms:created>
  <dcterms:modified xsi:type="dcterms:W3CDTF">2025-10-13T14:06:47Z</dcterms:modified>
</cp:coreProperties>
</file>